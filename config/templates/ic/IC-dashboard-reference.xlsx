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sktop\IAB\IC meeting\"/>
    </mc:Choice>
  </mc:AlternateContent>
  <xr:revisionPtr revIDLastSave="0" documentId="13_ncr:1_{3C4E8E0A-31E3-47E8-8FE0-21564C27740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b 26" sheetId="110" r:id="rId1"/>
  </sheets>
  <definedNames>
    <definedName name="_xlnm.Print_Area" localSheetId="0">'Feb 26'!$A$1:$H$37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10" l="1"/>
  <c r="H26" i="110"/>
  <c r="H32" i="110"/>
  <c r="H38" i="110" s="1"/>
  <c r="H28" i="110"/>
  <c r="H27" i="110"/>
  <c r="H21" i="110"/>
  <c r="H19" i="110"/>
  <c r="H15" i="110"/>
  <c r="H6" i="110"/>
  <c r="H7" i="110"/>
  <c r="H8" i="110"/>
  <c r="H9" i="110"/>
  <c r="H10" i="110"/>
  <c r="H11" i="110"/>
  <c r="H5" i="110"/>
  <c r="D29" i="110"/>
  <c r="D36" i="110"/>
  <c r="D35" i="110"/>
  <c r="E31" i="110"/>
  <c r="B26" i="110"/>
  <c r="D24" i="110"/>
  <c r="D23" i="110" s="1"/>
  <c r="D19" i="110"/>
  <c r="D12" i="110"/>
  <c r="B12" i="110"/>
  <c r="F11" i="110"/>
  <c r="F9" i="110"/>
  <c r="F8" i="110"/>
  <c r="F6" i="110"/>
  <c r="F12" i="110" l="1"/>
  <c r="D20" i="110"/>
  <c r="D22" i="110" s="1"/>
  <c r="E12" i="110"/>
  <c r="D37" i="110"/>
  <c r="D34" i="110" l="1"/>
  <c r="D32" i="110"/>
</calcChain>
</file>

<file path=xl/sharedStrings.xml><?xml version="1.0" encoding="utf-8"?>
<sst xmlns="http://schemas.openxmlformats.org/spreadsheetml/2006/main" count="65" uniqueCount="51">
  <si>
    <t>Brooker</t>
  </si>
  <si>
    <t>Price</t>
  </si>
  <si>
    <t>Total</t>
  </si>
  <si>
    <t>MTM</t>
  </si>
  <si>
    <t>Advance Finance</t>
  </si>
  <si>
    <t>Ratio Fix</t>
  </si>
  <si>
    <t>Ratio Equity</t>
  </si>
  <si>
    <t>No shares</t>
  </si>
  <si>
    <t>max 60%</t>
  </si>
  <si>
    <t>max 30%</t>
  </si>
  <si>
    <t xml:space="preserve">Sukhothai </t>
  </si>
  <si>
    <t>Total Equity Investments</t>
  </si>
  <si>
    <t>Total Investments</t>
  </si>
  <si>
    <t>MILL</t>
  </si>
  <si>
    <t>Structured Loan</t>
  </si>
  <si>
    <t>Ratjio Structured Loan</t>
  </si>
  <si>
    <t>max 50%</t>
  </si>
  <si>
    <t>estimate</t>
  </si>
  <si>
    <t>Cost</t>
  </si>
  <si>
    <t>B</t>
  </si>
  <si>
    <t>Fix Income/Hybrid</t>
  </si>
  <si>
    <t>Gain/Loss%</t>
  </si>
  <si>
    <t>Total Digital Assets Investments</t>
  </si>
  <si>
    <t>Exponenital Digital Age Fund</t>
  </si>
  <si>
    <t xml:space="preserve">Binance BNB OTC </t>
  </si>
  <si>
    <t>Ratio Digital Asset Treasury</t>
  </si>
  <si>
    <t>Digital Assets (Market Value)</t>
  </si>
  <si>
    <t>Wave</t>
  </si>
  <si>
    <t>Wave-W3</t>
  </si>
  <si>
    <t>B-W8</t>
  </si>
  <si>
    <t>Varuna</t>
  </si>
  <si>
    <t>CV</t>
  </si>
  <si>
    <t>Wave BCG</t>
  </si>
  <si>
    <t>Wave-W4</t>
  </si>
  <si>
    <t>NFTs: Cryptopunks, Apes,apecoin</t>
  </si>
  <si>
    <t>Robinhood</t>
  </si>
  <si>
    <t>BCGT</t>
  </si>
  <si>
    <t>Brook Limited Partners FoF I</t>
  </si>
  <si>
    <t>Total Tokens Market Value</t>
  </si>
  <si>
    <t>Total Assets Q4(Estimated)</t>
  </si>
  <si>
    <t>Net worth Q4</t>
  </si>
  <si>
    <t>Feb 2026 Total Investment Portfolio Summary Estimate</t>
  </si>
  <si>
    <t>Listed Securities</t>
  </si>
  <si>
    <t>Non Listed Securities</t>
  </si>
  <si>
    <t>Investment Company</t>
  </si>
  <si>
    <t>Yes</t>
  </si>
  <si>
    <t>Investment Company Baht</t>
  </si>
  <si>
    <t>Total Investment Company</t>
  </si>
  <si>
    <t>Yes (at Cost)</t>
  </si>
  <si>
    <t>Investment Company Ratio</t>
  </si>
  <si>
    <t>THB/USD 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</si>
</sst>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_(* #,##0_);_(* \(#,##0\);_(* &quot;-&quot;??_);_(@_)"/>
    <numFmt numFmtId="167" formatCode="dd\-mmm\-yy_)"/>
    <numFmt numFmtId="168" formatCode="0.00_)"/>
    <numFmt numFmtId="169" formatCode="#,##0.00\ &quot;F&quot;;\-#,##0.00\ &quot;F&quot;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name val="Arial"/>
      <family val="2"/>
    </font>
    <font>
      <b/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4"/>
      <name val="Cordia New"/>
      <family val="2"/>
    </font>
    <font>
      <sz val="14"/>
      <name val="AngsanaUPC"/>
      <family val="1"/>
      <charset val="222"/>
    </font>
    <font>
      <sz val="7"/>
      <name val="Small Fonts"/>
      <family val="2"/>
    </font>
    <font>
      <b/>
      <i/>
      <sz val="16"/>
      <name val="Helv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b/>
      <sz val="11"/>
      <color indexed="9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1"/>
      <color indexed="52"/>
      <name val="Tahoma"/>
      <family val="2"/>
      <charset val="222"/>
    </font>
    <font>
      <sz val="11"/>
      <color indexed="10"/>
      <name val="Tahoma"/>
      <family val="2"/>
      <charset val="222"/>
    </font>
    <font>
      <i/>
      <sz val="11"/>
      <color indexed="23"/>
      <name val="Tahoma"/>
      <family val="2"/>
      <charset val="222"/>
    </font>
    <font>
      <b/>
      <sz val="18"/>
      <color indexed="56"/>
      <name val="Tahoma"/>
      <family val="2"/>
      <charset val="222"/>
    </font>
    <font>
      <sz val="11"/>
      <color indexed="17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8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14" fillId="0" borderId="0"/>
    <xf numFmtId="0" fontId="20" fillId="5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8" borderId="0" applyNumberFormat="0" applyBorder="0" applyAlignment="0" applyProtection="0"/>
    <xf numFmtId="0" fontId="20" fillId="11" borderId="0" applyNumberFormat="0" applyBorder="0" applyAlignment="0" applyProtection="0"/>
    <xf numFmtId="0" fontId="20" fillId="14" borderId="0" applyNumberFormat="0" applyBorder="0" applyAlignment="0" applyProtection="0"/>
    <xf numFmtId="0" fontId="21" fillId="15" borderId="0" applyNumberFormat="0" applyBorder="0" applyAlignment="0" applyProtection="0"/>
    <xf numFmtId="0" fontId="21" fillId="12" borderId="0" applyNumberFormat="0" applyBorder="0" applyAlignment="0" applyProtection="0"/>
    <xf numFmtId="0" fontId="21" fillId="13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43" fontId="14" fillId="0" borderId="0" applyFont="0" applyFill="0" applyBorder="0" applyAlignment="0" applyProtection="0"/>
    <xf numFmtId="43" fontId="16" fillId="0" borderId="0" applyFont="0" applyFill="0" applyBorder="0" applyAlignment="0" applyProtection="0"/>
    <xf numFmtId="169" fontId="17" fillId="0" borderId="0"/>
    <xf numFmtId="167" fontId="17" fillId="0" borderId="0"/>
    <xf numFmtId="164" fontId="17" fillId="0" borderId="0"/>
    <xf numFmtId="38" fontId="15" fillId="25" borderId="0" applyNumberFormat="0" applyBorder="0" applyAlignment="0" applyProtection="0"/>
    <xf numFmtId="10" fontId="15" fillId="26" borderId="2" applyNumberFormat="0" applyBorder="0" applyAlignment="0" applyProtection="0"/>
    <xf numFmtId="37" fontId="18" fillId="0" borderId="0"/>
    <xf numFmtId="168" fontId="19" fillId="0" borderId="0"/>
    <xf numFmtId="0" fontId="16" fillId="0" borderId="0"/>
    <xf numFmtId="0" fontId="16" fillId="0" borderId="0"/>
    <xf numFmtId="10" fontId="3" fillId="0" borderId="0" applyFont="0" applyFill="0" applyBorder="0" applyAlignment="0" applyProtection="0"/>
    <xf numFmtId="1" fontId="3" fillId="0" borderId="3" applyNumberFormat="0" applyFill="0" applyAlignment="0" applyProtection="0">
      <alignment horizontal="center" vertical="center"/>
    </xf>
    <xf numFmtId="0" fontId="22" fillId="24" borderId="8" applyNumberFormat="0" applyAlignment="0" applyProtection="0"/>
    <xf numFmtId="0" fontId="23" fillId="0" borderId="12" applyNumberFormat="0" applyFill="0" applyAlignment="0" applyProtection="0"/>
    <xf numFmtId="0" fontId="24" fillId="6" borderId="0" applyNumberFormat="0" applyBorder="0" applyAlignment="0" applyProtection="0"/>
    <xf numFmtId="0" fontId="25" fillId="23" borderId="14" applyNumberFormat="0" applyAlignment="0" applyProtection="0"/>
    <xf numFmtId="0" fontId="26" fillId="23" borderId="7" applyNumberFormat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7" borderId="0" applyNumberFormat="0" applyBorder="0" applyAlignment="0" applyProtection="0"/>
    <xf numFmtId="0" fontId="31" fillId="10" borderId="7" applyNumberFormat="0" applyAlignment="0" applyProtection="0"/>
    <xf numFmtId="0" fontId="32" fillId="27" borderId="0" applyNumberFormat="0" applyBorder="0" applyAlignment="0" applyProtection="0"/>
    <xf numFmtId="0" fontId="33" fillId="0" borderId="15" applyNumberFormat="0" applyFill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22" borderId="0" applyNumberFormat="0" applyBorder="0" applyAlignment="0" applyProtection="0"/>
    <xf numFmtId="0" fontId="16" fillId="28" borderId="13" applyNumberFormat="0" applyFont="0" applyAlignment="0" applyProtection="0"/>
    <xf numFmtId="0" fontId="16" fillId="28" borderId="13" applyNumberFormat="0" applyFont="0" applyAlignment="0" applyProtection="0"/>
    <xf numFmtId="0" fontId="34" fillId="0" borderId="9" applyNumberFormat="0" applyFill="0" applyAlignment="0" applyProtection="0"/>
    <xf numFmtId="0" fontId="35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/>
    <xf numFmtId="43" fontId="37" fillId="0" borderId="0" applyFont="0" applyFill="0" applyBorder="0" applyAlignment="0" applyProtection="0"/>
  </cellStyleXfs>
  <cellXfs count="82">
    <xf numFmtId="0" fontId="0" fillId="0" borderId="0" xfId="0"/>
    <xf numFmtId="9" fontId="0" fillId="0" borderId="0" xfId="1" applyFont="1"/>
    <xf numFmtId="164" fontId="0" fillId="0" borderId="0" xfId="1" applyNumberFormat="1" applyFont="1"/>
    <xf numFmtId="165" fontId="0" fillId="0" borderId="0" xfId="3" applyNumberFormat="1" applyFont="1"/>
    <xf numFmtId="165" fontId="0" fillId="0" borderId="0" xfId="0" applyNumberFormat="1"/>
    <xf numFmtId="2" fontId="0" fillId="0" borderId="0" xfId="0" applyNumberFormat="1"/>
    <xf numFmtId="0" fontId="2" fillId="0" borderId="0" xfId="0" applyFont="1" applyAlignment="1">
      <alignment horizontal="right"/>
    </xf>
    <xf numFmtId="43" fontId="0" fillId="0" borderId="0" xfId="0" applyNumberFormat="1"/>
    <xf numFmtId="0" fontId="0" fillId="0" borderId="1" xfId="0" applyBorder="1"/>
    <xf numFmtId="165" fontId="0" fillId="0" borderId="1" xfId="3" applyNumberFormat="1" applyFont="1" applyBorder="1"/>
    <xf numFmtId="0" fontId="4" fillId="0" borderId="0" xfId="0" applyFont="1"/>
    <xf numFmtId="0" fontId="5" fillId="0" borderId="0" xfId="0" applyFont="1" applyAlignment="1">
      <alignment horizontal="right"/>
    </xf>
    <xf numFmtId="165" fontId="0" fillId="0" borderId="0" xfId="3" applyNumberFormat="1" applyFont="1" applyFill="1"/>
    <xf numFmtId="15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6" fillId="0" borderId="0" xfId="0" applyFont="1"/>
    <xf numFmtId="15" fontId="6" fillId="0" borderId="0" xfId="0" applyNumberFormat="1" applyFont="1"/>
    <xf numFmtId="0" fontId="2" fillId="0" borderId="1" xfId="0" applyFont="1" applyBorder="1"/>
    <xf numFmtId="2" fontId="2" fillId="0" borderId="1" xfId="0" applyNumberFormat="1" applyFont="1" applyBorder="1"/>
    <xf numFmtId="165" fontId="2" fillId="0" borderId="1" xfId="3" applyNumberFormat="1" applyFont="1" applyFill="1" applyBorder="1"/>
    <xf numFmtId="0" fontId="5" fillId="0" borderId="0" xfId="0" applyFont="1"/>
    <xf numFmtId="165" fontId="5" fillId="0" borderId="0" xfId="3" applyNumberFormat="1" applyFont="1"/>
    <xf numFmtId="0" fontId="7" fillId="3" borderId="0" xfId="0" applyFont="1" applyFill="1"/>
    <xf numFmtId="0" fontId="8" fillId="3" borderId="0" xfId="0" applyFont="1" applyFill="1"/>
    <xf numFmtId="165" fontId="2" fillId="2" borderId="0" xfId="0" applyNumberFormat="1" applyFont="1" applyFill="1"/>
    <xf numFmtId="0" fontId="2" fillId="2" borderId="0" xfId="0" applyFont="1" applyFill="1"/>
    <xf numFmtId="164" fontId="4" fillId="4" borderId="2" xfId="1" applyNumberFormat="1" applyFont="1" applyFill="1" applyBorder="1"/>
    <xf numFmtId="165" fontId="0" fillId="0" borderId="1" xfId="0" applyNumberFormat="1" applyBorder="1"/>
    <xf numFmtId="15" fontId="10" fillId="0" borderId="1" xfId="0" applyNumberFormat="1" applyFont="1" applyBorder="1" applyAlignment="1">
      <alignment horizontal="left"/>
    </xf>
    <xf numFmtId="15" fontId="11" fillId="0" borderId="0" xfId="0" applyNumberFormat="1" applyFont="1"/>
    <xf numFmtId="2" fontId="5" fillId="0" borderId="0" xfId="0" applyNumberFormat="1" applyFont="1"/>
    <xf numFmtId="165" fontId="10" fillId="0" borderId="0" xfId="3" applyNumberFormat="1" applyFont="1" applyFill="1" applyAlignment="1">
      <alignment horizontal="right"/>
    </xf>
    <xf numFmtId="164" fontId="0" fillId="0" borderId="0" xfId="1" applyNumberFormat="1" applyFont="1" applyFill="1" applyBorder="1"/>
    <xf numFmtId="165" fontId="12" fillId="0" borderId="0" xfId="0" applyNumberFormat="1" applyFont="1"/>
    <xf numFmtId="43" fontId="1" fillId="0" borderId="0" xfId="3" applyFont="1"/>
    <xf numFmtId="165" fontId="1" fillId="0" borderId="0" xfId="3" applyNumberFormat="1" applyFont="1" applyFill="1"/>
    <xf numFmtId="165" fontId="1" fillId="0" borderId="0" xfId="3" applyNumberFormat="1" applyFont="1"/>
    <xf numFmtId="9" fontId="0" fillId="0" borderId="0" xfId="1" applyFont="1" applyAlignment="1">
      <alignment horizontal="right"/>
    </xf>
    <xf numFmtId="0" fontId="0" fillId="0" borderId="6" xfId="0" applyBorder="1"/>
    <xf numFmtId="9" fontId="4" fillId="0" borderId="0" xfId="1" applyFont="1"/>
    <xf numFmtId="164" fontId="10" fillId="0" borderId="0" xfId="1" applyNumberFormat="1" applyFont="1" applyFill="1" applyAlignment="1">
      <alignment horizontal="right"/>
    </xf>
    <xf numFmtId="2" fontId="5" fillId="0" borderId="1" xfId="0" applyNumberFormat="1" applyFont="1" applyBorder="1"/>
    <xf numFmtId="164" fontId="4" fillId="4" borderId="16" xfId="1" applyNumberFormat="1" applyFont="1" applyFill="1" applyBorder="1"/>
    <xf numFmtId="3" fontId="5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5" fontId="0" fillId="0" borderId="0" xfId="0" applyNumberFormat="1" applyAlignment="1">
      <alignment horizontal="right"/>
    </xf>
    <xf numFmtId="165" fontId="0" fillId="0" borderId="0" xfId="3" applyNumberFormat="1" applyFont="1" applyFill="1" applyBorder="1" applyAlignment="1">
      <alignment horizontal="right"/>
    </xf>
    <xf numFmtId="0" fontId="0" fillId="0" borderId="0" xfId="0" applyFill="1" applyBorder="1"/>
    <xf numFmtId="165" fontId="0" fillId="0" borderId="0" xfId="3" quotePrefix="1" applyNumberFormat="1" applyFont="1" applyFill="1" applyBorder="1" applyAlignment="1">
      <alignment horizontal="left"/>
    </xf>
    <xf numFmtId="165" fontId="0" fillId="0" borderId="0" xfId="3" applyNumberFormat="1" applyFont="1" applyAlignment="1">
      <alignment horizontal="center"/>
    </xf>
    <xf numFmtId="9" fontId="0" fillId="0" borderId="1" xfId="1" applyFont="1" applyBorder="1"/>
    <xf numFmtId="165" fontId="0" fillId="0" borderId="1" xfId="3" applyNumberFormat="1" applyFont="1" applyBorder="1" applyAlignment="1">
      <alignment horizontal="center"/>
    </xf>
    <xf numFmtId="43" fontId="0" fillId="0" borderId="1" xfId="0" applyNumberFormat="1" applyBorder="1"/>
    <xf numFmtId="0" fontId="2" fillId="0" borderId="1" xfId="0" applyFont="1" applyFill="1" applyBorder="1"/>
    <xf numFmtId="165" fontId="2" fillId="0" borderId="1" xfId="3" quotePrefix="1" applyNumberFormat="1" applyFont="1" applyFill="1" applyBorder="1" applyAlignment="1">
      <alignment horizontal="left"/>
    </xf>
    <xf numFmtId="0" fontId="0" fillId="0" borderId="6" xfId="0" applyFill="1" applyBorder="1"/>
    <xf numFmtId="165" fontId="0" fillId="0" borderId="6" xfId="3" applyNumberFormat="1" applyFont="1" applyFill="1" applyBorder="1"/>
    <xf numFmtId="164" fontId="0" fillId="0" borderId="6" xfId="1" applyNumberFormat="1" applyFont="1" applyFill="1" applyBorder="1"/>
    <xf numFmtId="165" fontId="0" fillId="0" borderId="1" xfId="0" applyNumberFormat="1" applyFill="1" applyBorder="1"/>
    <xf numFmtId="0" fontId="2" fillId="0" borderId="6" xfId="0" applyFont="1" applyFill="1" applyBorder="1"/>
    <xf numFmtId="165" fontId="2" fillId="0" borderId="6" xfId="0" applyNumberFormat="1" applyFont="1" applyFill="1" applyBorder="1"/>
    <xf numFmtId="0" fontId="0" fillId="0" borderId="0" xfId="0" applyFont="1" applyFill="1" applyAlignment="1">
      <alignment horizontal="left" indent="1"/>
    </xf>
    <xf numFmtId="1" fontId="0" fillId="0" borderId="0" xfId="0" applyNumberFormat="1" applyFont="1" applyFill="1"/>
    <xf numFmtId="0" fontId="0" fillId="0" borderId="0" xfId="0" applyFont="1" applyFill="1"/>
    <xf numFmtId="165" fontId="0" fillId="0" borderId="0" xfId="0" applyNumberFormat="1" applyFont="1" applyFill="1"/>
    <xf numFmtId="165" fontId="0" fillId="0" borderId="1" xfId="0" applyNumberFormat="1" applyFont="1" applyFill="1" applyBorder="1"/>
    <xf numFmtId="9" fontId="2" fillId="0" borderId="1" xfId="1" applyFont="1" applyFill="1" applyBorder="1"/>
    <xf numFmtId="165" fontId="2" fillId="0" borderId="1" xfId="3" applyNumberFormat="1" applyFont="1" applyFill="1" applyBorder="1" applyAlignment="1">
      <alignment horizontal="right"/>
    </xf>
    <xf numFmtId="0" fontId="0" fillId="0" borderId="1" xfId="0" applyFont="1" applyFill="1" applyBorder="1" applyAlignment="1">
      <alignment horizontal="left" indent="1"/>
    </xf>
    <xf numFmtId="0" fontId="0" fillId="0" borderId="1" xfId="0" applyFont="1" applyFill="1" applyBorder="1"/>
    <xf numFmtId="0" fontId="0" fillId="0" borderId="1" xfId="0" applyFill="1" applyBorder="1"/>
    <xf numFmtId="165" fontId="2" fillId="0" borderId="1" xfId="0" applyNumberFormat="1" applyFont="1" applyBorder="1"/>
    <xf numFmtId="165" fontId="0" fillId="2" borderId="1" xfId="3" applyNumberFormat="1" applyFont="1" applyFill="1" applyBorder="1"/>
    <xf numFmtId="2" fontId="6" fillId="0" borderId="0" xfId="0" applyNumberFormat="1" applyFont="1"/>
    <xf numFmtId="0" fontId="5" fillId="0" borderId="0" xfId="0" applyFont="1" applyBorder="1" applyAlignment="1">
      <alignment horizontal="left"/>
    </xf>
    <xf numFmtId="0" fontId="5" fillId="2" borderId="0" xfId="0" applyFont="1" applyFill="1" applyBorder="1" applyAlignment="1">
      <alignment horizontal="right"/>
    </xf>
    <xf numFmtId="0" fontId="4" fillId="29" borderId="17" xfId="0" applyFont="1" applyFill="1" applyBorder="1"/>
    <xf numFmtId="0" fontId="0" fillId="29" borderId="18" xfId="0" applyFill="1" applyBorder="1"/>
    <xf numFmtId="3" fontId="0" fillId="29" borderId="19" xfId="0" applyNumberFormat="1" applyFill="1" applyBorder="1"/>
    <xf numFmtId="9" fontId="0" fillId="29" borderId="4" xfId="1" applyFont="1" applyFill="1" applyBorder="1"/>
    <xf numFmtId="9" fontId="0" fillId="29" borderId="5" xfId="1" applyFont="1" applyFill="1" applyBorder="1"/>
  </cellXfs>
  <cellStyles count="65">
    <cellStyle name="20% - ส่วนที่ถูกเน้น1" xfId="8" xr:uid="{7657B2B8-3496-4EF4-985E-8A14B3F032AA}"/>
    <cellStyle name="20% - ส่วนที่ถูกเน้น2" xfId="9" xr:uid="{D02E9411-E28C-482D-801C-268FAF33053D}"/>
    <cellStyle name="20% - ส่วนที่ถูกเน้น3" xfId="10" xr:uid="{FDA4C496-C287-4408-8B2B-14F453E53807}"/>
    <cellStyle name="20% - ส่วนที่ถูกเน้น4" xfId="11" xr:uid="{F5D94669-B584-44A0-A617-91F8530CC7D0}"/>
    <cellStyle name="20% - ส่วนที่ถูกเน้น5" xfId="12" xr:uid="{1C3761F9-4130-42B8-BC9A-724AEA25EAA4}"/>
    <cellStyle name="20% - ส่วนที่ถูกเน้น6" xfId="13" xr:uid="{07BCD103-BD96-4EC9-8984-022D7F86D635}"/>
    <cellStyle name="40% - ส่วนที่ถูกเน้น1" xfId="14" xr:uid="{A6FCB034-AAC5-4013-8549-A71E645A6D1F}"/>
    <cellStyle name="40% - ส่วนที่ถูกเน้น2" xfId="15" xr:uid="{40A5B194-16AF-40C7-890E-9F06110A8029}"/>
    <cellStyle name="40% - ส่วนที่ถูกเน้น3" xfId="16" xr:uid="{32FBC44D-20CD-4ECE-8567-DA6FA1CD757E}"/>
    <cellStyle name="40% - ส่วนที่ถูกเน้น4" xfId="17" xr:uid="{71744B54-8FE9-4274-9FBD-02BD0DF68407}"/>
    <cellStyle name="40% - ส่วนที่ถูกเน้น5" xfId="18" xr:uid="{80FB5868-E12C-4D0B-8BFD-8A1D5516505C}"/>
    <cellStyle name="40% - ส่วนที่ถูกเน้น6" xfId="19" xr:uid="{AD013FDD-62CA-428A-8E4F-89EEFC87238C}"/>
    <cellStyle name="60% - ส่วนที่ถูกเน้น1" xfId="20" xr:uid="{BA09762F-B161-4317-8D9C-61AF6539592C}"/>
    <cellStyle name="60% - ส่วนที่ถูกเน้น2" xfId="21" xr:uid="{1DE0AAA3-D49D-4ECF-A4FE-A41C680CA4FA}"/>
    <cellStyle name="60% - ส่วนที่ถูกเน้น3" xfId="22" xr:uid="{E8DCB91B-B8D6-4C04-89F5-DAE3047B7B21}"/>
    <cellStyle name="60% - ส่วนที่ถูกเน้น4" xfId="23" xr:uid="{4D26FA2F-097C-4EEA-8FC9-4D4C6FA99B8E}"/>
    <cellStyle name="60% - ส่วนที่ถูกเน้น5" xfId="24" xr:uid="{19672B76-56FB-4F04-AD16-91E9E549ED99}"/>
    <cellStyle name="60% - ส่วนที่ถูกเน้น6" xfId="25" xr:uid="{98A6DF40-2BBD-489E-82CF-A53FDBA79873}"/>
    <cellStyle name="Comma" xfId="3" builtinId="3"/>
    <cellStyle name="Comma 2" xfId="6" xr:uid="{00000000-0005-0000-0000-000001000000}"/>
    <cellStyle name="Comma 2 2" xfId="27" xr:uid="{4C3021D2-06DA-4856-A7B8-098E38A38847}"/>
    <cellStyle name="Comma 3" xfId="26" xr:uid="{B578E10B-CE3B-4A0D-9C4C-454A06C5AE1D}"/>
    <cellStyle name="Comma 4" xfId="64" xr:uid="{410BD837-85FB-4D32-83C4-9186C9454235}"/>
    <cellStyle name="comma zerodec" xfId="28" xr:uid="{DE624E0F-A361-40D4-A728-250E16D2C726}"/>
    <cellStyle name="Currency1" xfId="29" xr:uid="{DB7491D4-0545-4B63-A2C5-5702E9E71A9D}"/>
    <cellStyle name="Dollar (zero dec)" xfId="30" xr:uid="{45D1534B-5060-4A26-A798-CC8E9A293230}"/>
    <cellStyle name="Grey" xfId="31" xr:uid="{CCE8CED3-B257-4FBD-9DA4-9D148162E210}"/>
    <cellStyle name="Input [yellow]" xfId="32" xr:uid="{C2140F3A-B449-4FA4-9ACA-83B268CEDD95}"/>
    <cellStyle name="no dec" xfId="33" xr:uid="{3AE0315F-C9B4-414A-B290-57631BB84D14}"/>
    <cellStyle name="Normal" xfId="0" builtinId="0"/>
    <cellStyle name="Normal - Style1" xfId="34" xr:uid="{BADCEAE5-F164-4D5B-AC9F-2758303F4734}"/>
    <cellStyle name="Normal 2" xfId="5" xr:uid="{00000000-0005-0000-0000-000003000000}"/>
    <cellStyle name="Normal 2 2" xfId="35" xr:uid="{02377441-1044-411F-8F33-C0AB4FEDB1DA}"/>
    <cellStyle name="Normal 3" xfId="36" xr:uid="{950A2B17-BD5D-4F4A-A17F-8942A2D24515}"/>
    <cellStyle name="Normal 4" xfId="7" xr:uid="{C4F44491-1B21-49D9-8187-CD2B038FA69E}"/>
    <cellStyle name="Normal 5" xfId="63" xr:uid="{A7A383D1-77CA-494A-8ECB-B30C1F0ABCC5}"/>
    <cellStyle name="Normal 8 3" xfId="2" xr:uid="{00000000-0005-0000-0000-000004000000}"/>
    <cellStyle name="Percent" xfId="1" builtinId="5"/>
    <cellStyle name="Percent [2]" xfId="37" xr:uid="{8F5C88C2-6D9E-4E91-8CAC-67454F85BF1B}"/>
    <cellStyle name="Percent 2 2 2" xfId="4" xr:uid="{00000000-0005-0000-0000-000006000000}"/>
    <cellStyle name="Quantity" xfId="38" xr:uid="{30609907-3C03-467C-9FD6-CB568560CE62}"/>
    <cellStyle name="เซลล์ตรวจสอบ" xfId="39" xr:uid="{01A774A3-3E38-4EAE-B2A4-E946AE70367F}"/>
    <cellStyle name="เซลล์ที่มีการเชื่อมโยง" xfId="40" xr:uid="{8AC9B259-B8F7-480B-B36B-CC6DB1D1EE36}"/>
    <cellStyle name="แย่" xfId="41" xr:uid="{22B0699D-E3BE-4921-BAFF-273AB51A4873}"/>
    <cellStyle name="แสดงผล" xfId="42" xr:uid="{9EDE0E01-3AC2-4C81-9A26-20F4413E0CA4}"/>
    <cellStyle name="การคำนวณ" xfId="43" xr:uid="{B0074298-8796-4430-B776-212733E38A1E}"/>
    <cellStyle name="ข้อความเตือน" xfId="44" xr:uid="{C1A96BE3-D755-4535-A333-30FCC9BDF2E8}"/>
    <cellStyle name="ข้อความอธิบาย" xfId="45" xr:uid="{F9B90EF2-595C-454D-A4A3-3C4A10050C18}"/>
    <cellStyle name="ชื่อเรื่อง" xfId="46" xr:uid="{56C633AC-4B6A-4B53-B77B-35AC447485F5}"/>
    <cellStyle name="ดี" xfId="47" xr:uid="{AECED2AE-975B-4BF8-9030-5E7910F30F00}"/>
    <cellStyle name="ป้อนค่า" xfId="48" xr:uid="{B1351B74-701E-474E-8DD6-363E2B0B6143}"/>
    <cellStyle name="ปานกลาง" xfId="49" xr:uid="{C844DEEE-4907-4433-99AA-1C1006A27B4A}"/>
    <cellStyle name="ผลรวม" xfId="50" xr:uid="{BD35FE27-1DB4-4939-9DAA-5F3FF92C41A6}"/>
    <cellStyle name="ส่วนที่ถูกเน้น1" xfId="51" xr:uid="{331DCA9C-88BC-46F3-AD5E-473A51BFF687}"/>
    <cellStyle name="ส่วนที่ถูกเน้น2" xfId="52" xr:uid="{E5F98CBB-10D0-4EEF-A502-75363929740D}"/>
    <cellStyle name="ส่วนที่ถูกเน้น3" xfId="53" xr:uid="{CC7E577A-1E50-4FA8-AA62-C037F4582FCF}"/>
    <cellStyle name="ส่วนที่ถูกเน้น4" xfId="54" xr:uid="{8ECC8508-6A34-4159-9B8D-0B6B391F12A5}"/>
    <cellStyle name="ส่วนที่ถูกเน้น5" xfId="55" xr:uid="{C46ADD9B-489A-45EC-BE4A-AB2EB6A483BA}"/>
    <cellStyle name="ส่วนที่ถูกเน้น6" xfId="56" xr:uid="{38247FE5-3628-44C3-8F38-1BD1D6DBA2AC}"/>
    <cellStyle name="หมายเหตุ" xfId="57" xr:uid="{BDC7449D-12C6-4196-A963-4625B49EF489}"/>
    <cellStyle name="หมายเหตุ 2" xfId="58" xr:uid="{627AB531-BA5A-4522-AA20-C9DE40062148}"/>
    <cellStyle name="หัวเรื่อง 1" xfId="59" xr:uid="{8F7F6B35-89F9-44AB-8500-97D6A26DDF84}"/>
    <cellStyle name="หัวเรื่อง 2" xfId="60" xr:uid="{3DD41A93-27B0-4A74-A9BF-C88367D1B0B3}"/>
    <cellStyle name="หัวเรื่อง 3" xfId="61" xr:uid="{BC895377-9178-43AD-BF0C-1263578C17F5}"/>
    <cellStyle name="หัวเรื่อง 4" xfId="62" xr:uid="{DBF616F7-BFC1-452D-BC99-2449678E2E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C5781-177A-43D0-BC74-2D9FEA4541A2}">
  <dimension ref="A1:I40"/>
  <sheetViews>
    <sheetView tabSelected="1" zoomScaleNormal="100" workbookViewId="0">
      <selection activeCell="K8" sqref="K8"/>
    </sheetView>
  </sheetViews>
  <sheetFormatPr defaultRowHeight="15" outlineLevelRow="1" x14ac:dyDescent="0.25"/>
  <cols>
    <col min="1" max="1" width="32.5703125" customWidth="1"/>
    <col min="2" max="2" width="12" bestFit="1" customWidth="1"/>
    <col min="3" max="3" width="7.7109375" customWidth="1"/>
    <col min="4" max="4" width="16.42578125" customWidth="1"/>
    <col min="5" max="5" width="14.5703125" customWidth="1"/>
    <col min="6" max="6" width="17.5703125" bestFit="1" customWidth="1"/>
    <col min="7" max="7" width="26" customWidth="1"/>
    <col min="8" max="8" width="17.5703125" customWidth="1"/>
    <col min="9" max="9" width="15.28515625" customWidth="1"/>
  </cols>
  <sheetData>
    <row r="1" spans="1:8" ht="18.75" x14ac:dyDescent="0.3">
      <c r="A1" s="22" t="s">
        <v>41</v>
      </c>
      <c r="B1" s="22"/>
      <c r="C1" s="23"/>
      <c r="D1" s="23"/>
      <c r="E1" s="23"/>
      <c r="F1" s="23"/>
      <c r="G1" s="23"/>
      <c r="H1" s="23"/>
    </row>
    <row r="2" spans="1:8" x14ac:dyDescent="0.25">
      <c r="H2" s="6"/>
    </row>
    <row r="3" spans="1:8" x14ac:dyDescent="0.25">
      <c r="A3" s="13"/>
      <c r="B3" s="28" t="s">
        <v>18</v>
      </c>
      <c r="C3" s="14" t="s">
        <v>1</v>
      </c>
      <c r="D3" s="14" t="s">
        <v>3</v>
      </c>
      <c r="E3" s="14" t="s">
        <v>7</v>
      </c>
      <c r="F3" s="6" t="s">
        <v>21</v>
      </c>
      <c r="G3" s="6" t="s">
        <v>44</v>
      </c>
      <c r="H3" s="6" t="s">
        <v>46</v>
      </c>
    </row>
    <row r="4" spans="1:8" outlineLevel="1" x14ac:dyDescent="0.25">
      <c r="A4" s="16" t="s">
        <v>42</v>
      </c>
      <c r="B4" s="29"/>
      <c r="C4" s="6"/>
      <c r="D4" s="6"/>
      <c r="E4" s="6"/>
      <c r="G4" s="6"/>
    </row>
    <row r="5" spans="1:8" outlineLevel="1" x14ac:dyDescent="0.25">
      <c r="A5" t="s">
        <v>31</v>
      </c>
      <c r="B5" s="30">
        <v>0.47</v>
      </c>
      <c r="C5" s="34">
        <v>0</v>
      </c>
      <c r="D5" s="35">
        <v>0</v>
      </c>
      <c r="E5" s="36">
        <v>10000</v>
      </c>
      <c r="F5" s="1"/>
      <c r="G5" s="50" t="s">
        <v>45</v>
      </c>
      <c r="H5" s="4">
        <f>D5</f>
        <v>0</v>
      </c>
    </row>
    <row r="6" spans="1:8" outlineLevel="1" x14ac:dyDescent="0.25">
      <c r="A6" t="s">
        <v>13</v>
      </c>
      <c r="B6" s="30">
        <v>1.3</v>
      </c>
      <c r="C6" s="7">
        <v>0.05</v>
      </c>
      <c r="D6" s="3">
        <v>3266050</v>
      </c>
      <c r="E6" s="33">
        <v>65321009</v>
      </c>
      <c r="F6" s="1">
        <f>C6/B6-1</f>
        <v>-0.96153846153846156</v>
      </c>
      <c r="G6" s="50" t="s">
        <v>45</v>
      </c>
      <c r="H6" s="4">
        <f t="shared" ref="H6:H11" si="0">D6</f>
        <v>3266050</v>
      </c>
    </row>
    <row r="7" spans="1:8" outlineLevel="1" x14ac:dyDescent="0.25">
      <c r="A7" t="s">
        <v>29</v>
      </c>
      <c r="B7" s="30">
        <v>0</v>
      </c>
      <c r="C7" s="7">
        <v>0</v>
      </c>
      <c r="D7" s="3">
        <v>0</v>
      </c>
      <c r="E7" s="33">
        <v>29987508</v>
      </c>
      <c r="F7" s="1"/>
      <c r="G7" s="50" t="s">
        <v>45</v>
      </c>
      <c r="H7" s="4">
        <f t="shared" si="0"/>
        <v>0</v>
      </c>
    </row>
    <row r="8" spans="1:8" outlineLevel="1" x14ac:dyDescent="0.25">
      <c r="A8" t="s">
        <v>27</v>
      </c>
      <c r="B8" s="30">
        <v>0.15</v>
      </c>
      <c r="C8" s="7">
        <v>0.02</v>
      </c>
      <c r="D8" s="36">
        <v>20406168.84</v>
      </c>
      <c r="E8" s="4">
        <v>1020308442</v>
      </c>
      <c r="F8" s="1">
        <f>C8/B8-1</f>
        <v>-0.8666666666666667</v>
      </c>
      <c r="G8" s="50" t="s">
        <v>45</v>
      </c>
      <c r="H8" s="4">
        <f t="shared" si="0"/>
        <v>20406168.84</v>
      </c>
    </row>
    <row r="9" spans="1:8" outlineLevel="1" x14ac:dyDescent="0.25">
      <c r="A9" t="s">
        <v>28</v>
      </c>
      <c r="B9" s="30">
        <v>0.09</v>
      </c>
      <c r="C9" s="7">
        <v>0</v>
      </c>
      <c r="D9" s="36">
        <v>0</v>
      </c>
      <c r="E9" s="4">
        <v>245925218</v>
      </c>
      <c r="F9" s="1">
        <f>C9/B9-1</f>
        <v>-1</v>
      </c>
      <c r="G9" s="50" t="s">
        <v>45</v>
      </c>
      <c r="H9" s="4">
        <f t="shared" si="0"/>
        <v>0</v>
      </c>
    </row>
    <row r="10" spans="1:8" outlineLevel="1" x14ac:dyDescent="0.25">
      <c r="A10" t="s">
        <v>33</v>
      </c>
      <c r="B10" s="30">
        <v>0</v>
      </c>
      <c r="C10" s="7">
        <v>0</v>
      </c>
      <c r="D10" s="36">
        <v>0</v>
      </c>
      <c r="E10" s="4">
        <v>302030844</v>
      </c>
      <c r="F10" s="1"/>
      <c r="G10" s="50" t="s">
        <v>45</v>
      </c>
      <c r="H10" s="4">
        <f t="shared" si="0"/>
        <v>0</v>
      </c>
    </row>
    <row r="11" spans="1:8" outlineLevel="1" x14ac:dyDescent="0.25">
      <c r="A11" s="8" t="s">
        <v>19</v>
      </c>
      <c r="B11" s="41">
        <v>0.19</v>
      </c>
      <c r="C11" s="8">
        <v>0.04</v>
      </c>
      <c r="D11" s="9">
        <v>3598501</v>
      </c>
      <c r="E11" s="27">
        <v>89962524.333333328</v>
      </c>
      <c r="F11" s="51">
        <f>C11/B11-1</f>
        <v>-0.78947368421052633</v>
      </c>
      <c r="G11" s="52" t="s">
        <v>45</v>
      </c>
      <c r="H11" s="27">
        <f t="shared" si="0"/>
        <v>3598501</v>
      </c>
    </row>
    <row r="12" spans="1:8" x14ac:dyDescent="0.25">
      <c r="A12" s="20" t="s">
        <v>2</v>
      </c>
      <c r="B12" s="74">
        <f>276927500.53/1000000</f>
        <v>276.92750052999997</v>
      </c>
      <c r="C12" s="7"/>
      <c r="D12" s="21">
        <f>SUM(D5:D11)</f>
        <v>27270719.84</v>
      </c>
      <c r="E12" s="1">
        <f>D12/(B12*1000000)-1</f>
        <v>-0.90152397364722636</v>
      </c>
      <c r="F12" s="1">
        <f>D12/(B12*1000000)-1</f>
        <v>-0.90152397364722636</v>
      </c>
      <c r="G12" s="1"/>
    </row>
    <row r="13" spans="1:8" x14ac:dyDescent="0.25">
      <c r="B13" s="15"/>
      <c r="C13" s="7"/>
      <c r="D13" s="3"/>
      <c r="E13" s="4"/>
      <c r="F13" s="4"/>
      <c r="H13" s="44"/>
    </row>
    <row r="14" spans="1:8" x14ac:dyDescent="0.25">
      <c r="A14" s="15" t="s">
        <v>43</v>
      </c>
      <c r="D14" s="4"/>
      <c r="E14" s="4"/>
      <c r="F14" s="4"/>
      <c r="H14" s="45"/>
    </row>
    <row r="15" spans="1:8" x14ac:dyDescent="0.25">
      <c r="A15" t="s">
        <v>30</v>
      </c>
      <c r="D15" s="4">
        <v>100000000</v>
      </c>
      <c r="E15" s="4"/>
      <c r="F15" s="4"/>
      <c r="G15" s="50" t="s">
        <v>45</v>
      </c>
      <c r="H15" s="4">
        <f t="shared" ref="H15" si="1">D15</f>
        <v>100000000</v>
      </c>
    </row>
    <row r="16" spans="1:8" x14ac:dyDescent="0.25">
      <c r="A16" t="s">
        <v>36</v>
      </c>
      <c r="B16">
        <v>63.2</v>
      </c>
      <c r="D16" s="4">
        <v>246195</v>
      </c>
      <c r="E16" s="4"/>
      <c r="F16" s="4"/>
      <c r="H16" s="46"/>
    </row>
    <row r="17" spans="1:9" x14ac:dyDescent="0.25">
      <c r="A17" t="s">
        <v>32</v>
      </c>
      <c r="D17" s="4">
        <v>0</v>
      </c>
      <c r="E17" s="4"/>
      <c r="F17" s="4"/>
      <c r="H17" s="46"/>
    </row>
    <row r="18" spans="1:9" x14ac:dyDescent="0.25">
      <c r="A18" t="s">
        <v>35</v>
      </c>
      <c r="D18" s="4">
        <v>85190745.829999998</v>
      </c>
      <c r="E18" s="4"/>
      <c r="F18" s="4"/>
      <c r="H18" s="46"/>
    </row>
    <row r="19" spans="1:9" x14ac:dyDescent="0.25">
      <c r="A19" s="8" t="s">
        <v>4</v>
      </c>
      <c r="B19" s="53">
        <f>D19/125000000</f>
        <v>1.48</v>
      </c>
      <c r="C19" s="9"/>
      <c r="D19" s="9">
        <f>185000000</f>
        <v>185000000</v>
      </c>
      <c r="E19" s="27"/>
      <c r="F19" s="27"/>
      <c r="G19" s="52" t="s">
        <v>45</v>
      </c>
      <c r="H19" s="27">
        <f t="shared" ref="H19" si="2">D19</f>
        <v>185000000</v>
      </c>
    </row>
    <row r="20" spans="1:9" x14ac:dyDescent="0.25">
      <c r="A20" t="s">
        <v>0</v>
      </c>
      <c r="C20" s="4"/>
      <c r="D20" s="4">
        <f>SUM(D13:D19)+D12</f>
        <v>397707660.66999996</v>
      </c>
      <c r="H20" s="46"/>
    </row>
    <row r="21" spans="1:9" x14ac:dyDescent="0.25">
      <c r="A21" s="8" t="s">
        <v>10</v>
      </c>
      <c r="B21" s="73" t="s">
        <v>17</v>
      </c>
      <c r="C21" s="8"/>
      <c r="D21" s="9">
        <v>129351321.12</v>
      </c>
      <c r="E21" s="8"/>
      <c r="F21" s="8"/>
      <c r="G21" s="52" t="s">
        <v>45</v>
      </c>
      <c r="H21" s="27">
        <f t="shared" ref="H21" si="3">D21</f>
        <v>129351321.12</v>
      </c>
    </row>
    <row r="22" spans="1:9" x14ac:dyDescent="0.25">
      <c r="A22" s="17" t="s">
        <v>11</v>
      </c>
      <c r="B22" s="17"/>
      <c r="C22" s="17"/>
      <c r="D22" s="72">
        <f>SUM(D20:D21)</f>
        <v>527058981.78999996</v>
      </c>
      <c r="E22" s="71"/>
      <c r="F22" s="71"/>
      <c r="G22" s="71"/>
      <c r="H22" s="8"/>
    </row>
    <row r="23" spans="1:9" x14ac:dyDescent="0.25">
      <c r="A23" s="62" t="s">
        <v>26</v>
      </c>
      <c r="B23" s="64"/>
      <c r="C23" s="64"/>
      <c r="D23" s="65">
        <f>D25-D24</f>
        <v>561023937.23768902</v>
      </c>
      <c r="E23" s="48"/>
      <c r="G23" s="50" t="s">
        <v>48</v>
      </c>
      <c r="H23" s="4">
        <v>528230000</v>
      </c>
    </row>
    <row r="24" spans="1:9" x14ac:dyDescent="0.25">
      <c r="A24" s="69" t="s">
        <v>24</v>
      </c>
      <c r="B24" s="70">
        <v>324</v>
      </c>
      <c r="C24" s="70">
        <v>617</v>
      </c>
      <c r="D24" s="66">
        <f>43065.2531*C24*B40</f>
        <v>821849107.76231098</v>
      </c>
      <c r="E24" s="71"/>
      <c r="F24" s="8"/>
      <c r="G24" s="52" t="s">
        <v>48</v>
      </c>
      <c r="H24" s="27">
        <v>414350000</v>
      </c>
      <c r="I24" s="1"/>
    </row>
    <row r="25" spans="1:9" x14ac:dyDescent="0.25">
      <c r="A25" s="67" t="s">
        <v>38</v>
      </c>
      <c r="B25" s="54"/>
      <c r="C25" s="54"/>
      <c r="D25" s="19">
        <v>1382873045</v>
      </c>
      <c r="E25" s="54"/>
      <c r="F25" s="19"/>
      <c r="G25" s="68"/>
      <c r="H25" s="17"/>
      <c r="I25" s="1"/>
    </row>
    <row r="26" spans="1:9" x14ac:dyDescent="0.25">
      <c r="A26" s="62" t="s">
        <v>34</v>
      </c>
      <c r="B26" s="63">
        <f>2.8*36.6</f>
        <v>102.48</v>
      </c>
      <c r="C26" s="64"/>
      <c r="D26" s="65">
        <v>28777416.220403999</v>
      </c>
      <c r="E26" s="48"/>
      <c r="F26" s="49"/>
      <c r="G26" s="50" t="s">
        <v>45</v>
      </c>
      <c r="H26" s="4">
        <f t="shared" ref="H26:H28" si="4">D26</f>
        <v>28777416.220403999</v>
      </c>
      <c r="I26" s="1"/>
    </row>
    <row r="27" spans="1:9" x14ac:dyDescent="0.25">
      <c r="A27" s="62" t="s">
        <v>23</v>
      </c>
      <c r="B27" s="63"/>
      <c r="C27" s="64"/>
      <c r="D27" s="65">
        <v>14009923.689999999</v>
      </c>
      <c r="E27" s="48"/>
      <c r="F27" s="49"/>
      <c r="G27" s="50" t="s">
        <v>45</v>
      </c>
      <c r="H27" s="4">
        <f t="shared" si="4"/>
        <v>14009923.689999999</v>
      </c>
      <c r="I27" s="1"/>
    </row>
    <row r="28" spans="1:9" x14ac:dyDescent="0.25">
      <c r="A28" s="62" t="s">
        <v>37</v>
      </c>
      <c r="B28" s="64"/>
      <c r="C28" s="64"/>
      <c r="D28" s="66">
        <v>279270736.97000003</v>
      </c>
      <c r="E28" s="54"/>
      <c r="F28" s="55"/>
      <c r="G28" s="52" t="s">
        <v>45</v>
      </c>
      <c r="H28" s="27">
        <f t="shared" si="4"/>
        <v>279270736.97000003</v>
      </c>
      <c r="I28" s="37"/>
    </row>
    <row r="29" spans="1:9" x14ac:dyDescent="0.25">
      <c r="A29" s="60" t="s">
        <v>22</v>
      </c>
      <c r="B29" s="60"/>
      <c r="C29" s="60"/>
      <c r="D29" s="61">
        <f>SUM(D25:D28)</f>
        <v>1704931121.880404</v>
      </c>
      <c r="E29" s="56"/>
      <c r="F29" s="57"/>
      <c r="G29" s="58"/>
      <c r="H29" s="38"/>
    </row>
    <row r="30" spans="1:9" x14ac:dyDescent="0.25">
      <c r="A30" t="s">
        <v>20</v>
      </c>
      <c r="C30" s="5"/>
      <c r="D30" s="12">
        <v>0</v>
      </c>
      <c r="E30" s="3"/>
      <c r="G30" s="2"/>
      <c r="I30" s="5"/>
    </row>
    <row r="31" spans="1:9" x14ac:dyDescent="0.25">
      <c r="A31" t="s">
        <v>14</v>
      </c>
      <c r="B31">
        <v>1296</v>
      </c>
      <c r="C31" s="5"/>
      <c r="D31" s="12">
        <v>693440000</v>
      </c>
      <c r="E31" s="1">
        <f>D31/(1000000*B31)-1</f>
        <v>-0.46493827160493828</v>
      </c>
      <c r="G31" s="47"/>
    </row>
    <row r="32" spans="1:9" x14ac:dyDescent="0.25">
      <c r="A32" s="17" t="s">
        <v>12</v>
      </c>
      <c r="B32" s="17"/>
      <c r="C32" s="18"/>
      <c r="D32" s="19">
        <f>D22+D30+D31+D29</f>
        <v>2925430103.670404</v>
      </c>
      <c r="E32" s="9"/>
      <c r="F32" s="9"/>
      <c r="G32" s="59" t="s">
        <v>47</v>
      </c>
      <c r="H32" s="9">
        <f>SUM(H4:H31)</f>
        <v>1706260117.840404</v>
      </c>
    </row>
    <row r="33" spans="1:8" x14ac:dyDescent="0.25">
      <c r="A33" s="25" t="s">
        <v>40</v>
      </c>
      <c r="B33" s="25"/>
      <c r="C33" s="25"/>
      <c r="D33" s="24">
        <v>2493694574.73</v>
      </c>
    </row>
    <row r="34" spans="1:8" x14ac:dyDescent="0.25">
      <c r="A34" s="10" t="s">
        <v>6</v>
      </c>
      <c r="B34" s="10"/>
      <c r="D34" s="26">
        <f>(D22+D28)/D33</f>
        <v>0.32334742471311018</v>
      </c>
      <c r="E34" s="11" t="s">
        <v>8</v>
      </c>
      <c r="F34" s="40"/>
      <c r="H34" s="32"/>
    </row>
    <row r="35" spans="1:8" x14ac:dyDescent="0.25">
      <c r="A35" s="10" t="s">
        <v>5</v>
      </c>
      <c r="B35" s="10"/>
      <c r="C35" s="10"/>
      <c r="D35" s="26">
        <f>D30/D33</f>
        <v>0</v>
      </c>
      <c r="E35" s="11" t="s">
        <v>9</v>
      </c>
      <c r="F35" s="40"/>
      <c r="H35" s="32"/>
    </row>
    <row r="36" spans="1:8" x14ac:dyDescent="0.25">
      <c r="A36" s="10" t="s">
        <v>15</v>
      </c>
      <c r="B36" s="10"/>
      <c r="C36" s="10"/>
      <c r="D36" s="26">
        <f>D31/D33</f>
        <v>0.27807735840107078</v>
      </c>
      <c r="E36" s="11" t="s">
        <v>16</v>
      </c>
      <c r="F36" s="40"/>
    </row>
    <row r="37" spans="1:8" ht="15.75" thickBot="1" x14ac:dyDescent="0.3">
      <c r="A37" s="10" t="s">
        <v>25</v>
      </c>
      <c r="B37" s="10"/>
      <c r="C37" s="39"/>
      <c r="D37" s="42">
        <f>(D23+D24+D26)/D33</f>
        <v>0.56608795460576711</v>
      </c>
      <c r="E37" s="11" t="s">
        <v>16</v>
      </c>
      <c r="F37" s="40"/>
    </row>
    <row r="38" spans="1:8" ht="15.75" thickBot="1" x14ac:dyDescent="0.3">
      <c r="A38" s="77" t="s">
        <v>39</v>
      </c>
      <c r="B38" s="78"/>
      <c r="C38" s="78"/>
      <c r="D38" s="79">
        <v>3266520902.04</v>
      </c>
      <c r="E38" s="43"/>
      <c r="F38" s="31"/>
      <c r="G38" s="80" t="s">
        <v>49</v>
      </c>
      <c r="H38" s="81">
        <f>H32/D38</f>
        <v>0.52234783398288209</v>
      </c>
    </row>
    <row r="40" spans="1:8" x14ac:dyDescent="0.25">
      <c r="A40" s="75" t="s">
        <v>50</v>
      </c>
      <c r="B40" s="76">
        <v>30.93</v>
      </c>
    </row>
  </sheetData>
  <pageMargins left="0.7" right="0.7" top="0.75" bottom="0.75" header="0.3" footer="0.3"/>
  <pageSetup paperSize="9" scale="75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Feb 26</vt:lpstr>
      <vt:lpstr>'Feb 26'!Print_Area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Varut Bulakul</dc:creator>
  <cp:lastModifiedBy>Varut Bulakul</cp:lastModifiedBy>
  <cp:lastPrinted>2020-03-17T02:47:42Z</cp:lastPrinted>
  <dcterms:created xsi:type="dcterms:W3CDTF">2016-06-21T10:48:56Z</dcterms:created>
  <dcterms:modified xsi:type="dcterms:W3CDTF">2026-04-30T09:37:26Z</dcterms:modified>
</cp:coreProperties>
</file>